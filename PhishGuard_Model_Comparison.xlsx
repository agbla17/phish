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he Projects\Phishguard\"/>
    </mc:Choice>
  </mc:AlternateContent>
  <xr:revisionPtr revIDLastSave="0" documentId="13_ncr:1_{4DC351E0-7614-4DC1-9DA0-2245099C5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 &amp; Decision" sheetId="1" r:id="rId1"/>
    <sheet name="Dataset 1 - CEAS_08 (Email)" sheetId="2" r:id="rId2"/>
    <sheet name="Dataset 2 - urldata (URLs)" sheetId="3" r:id="rId3"/>
    <sheet name="Dataset 3 - PhishTank (Feed)" sheetId="4" r:id="rId4"/>
    <sheet name="Cross-Dataset Aggregates" sheetId="5" r:id="rId5"/>
    <sheet name="Deployment Specs &amp; Pipelin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</calcChain>
</file>

<file path=xl/sharedStrings.xml><?xml version="1.0" encoding="utf-8"?>
<sst xmlns="http://schemas.openxmlformats.org/spreadsheetml/2006/main" count="109" uniqueCount="91">
  <si>
    <t>PhishGuard leakage-aware model evaluation</t>
  </si>
  <si>
    <t>Evaluation timestamp</t>
  </si>
  <si>
    <t>2026-10-08T21:22:31.980303+00:00</t>
  </si>
  <si>
    <t>Validation</t>
  </si>
  <si>
    <t>Grouped out-of-fold predictions; not an independent production certification</t>
  </si>
  <si>
    <t>Implemented model</t>
  </si>
  <si>
    <t>Evaluation evidence</t>
  </si>
  <si>
    <t>Status / caveat</t>
  </si>
  <si>
    <t>Email XGBoost</t>
  </si>
  <si>
    <t>39,154 CEAS_08 rows; OOF accuracy 99.23%</t>
  </si>
  <si>
    <t>Normalized text/sender grouped folds</t>
  </si>
  <si>
    <t>URL XGBoost</t>
  </si>
  <si>
    <t>48,850 sampled urldata URLs; OOF accuracy 83.76%</t>
  </si>
  <si>
    <t>Hostname-grouped folds; PhishTank reported separately</t>
  </si>
  <si>
    <t>Attachment XGBoost</t>
  </si>
  <si>
    <t>6,600 synthetic vectors; accuracy 98.77%</t>
  </si>
  <si>
    <t>Synthetic pipeline check only; no real-world labeled file corpus</t>
  </si>
  <si>
    <t>Other architectures</t>
  </si>
  <si>
    <t>Dataset 1 - CEAS_08 (Email)</t>
  </si>
  <si>
    <t>Grouped out-of-fold evaluation</t>
  </si>
  <si>
    <t>Samples</t>
  </si>
  <si>
    <t>Class distribution</t>
  </si>
  <si>
    <t>{"legitimate": 17312, "phishing": 21842}</t>
  </si>
  <si>
    <t>Metric</t>
  </si>
  <si>
    <t>Value</t>
  </si>
  <si>
    <t>accuracy</t>
  </si>
  <si>
    <t>precision</t>
  </si>
  <si>
    <t>recall</t>
  </si>
  <si>
    <t>f1</t>
  </si>
  <si>
    <t>roc_auc</t>
  </si>
  <si>
    <t>Confusion matrix (rows=true class; columns=predicted class)</t>
  </si>
  <si>
    <t>Dataset 2 - urldata (URLs)</t>
  </si>
  <si>
    <t>{"legitimate": 25000, "phishing": 23850}</t>
  </si>
  <si>
    <t>Dataset 3 - PhishTank (Feed)</t>
  </si>
  <si>
    <t>{"legitimate": 0, "phishing": 20000}</t>
  </si>
  <si>
    <t>phishing_recall</t>
  </si>
  <si>
    <t>detected_phishing</t>
  </si>
  <si>
    <t>missed_phishing</t>
  </si>
  <si>
    <t>Dataset</t>
  </si>
  <si>
    <t>Accuracy</t>
  </si>
  <si>
    <t>Precision</t>
  </si>
  <si>
    <t>Recall</t>
  </si>
  <si>
    <t>F1</t>
  </si>
  <si>
    <t>ROC-AUC</t>
  </si>
  <si>
    <t>Evaluation note</t>
  </si>
  <si>
    <t>CEAS_08 email</t>
  </si>
  <si>
    <t>Grouped out-of-fold</t>
  </si>
  <si>
    <t>urldata URLs</t>
  </si>
  <si>
    <t>PhishTank positive-only URLs</t>
  </si>
  <si>
    <t>Positive-only: recall only</t>
  </si>
  <si>
    <t>Synthetic attachment vectors</t>
  </si>
  <si>
    <t>Synthetic data only; not comparable to real email/URL corpora</t>
  </si>
  <si>
    <t>Component</t>
  </si>
  <si>
    <t>Current implementation</t>
  </si>
  <si>
    <t>Operational caveat</t>
  </si>
  <si>
    <t>API server</t>
  </si>
  <si>
    <t>Node.js / Express on 127.0.0.1:3000 by default</t>
  </si>
  <si>
    <t>Remote exposure requires an authenticated gateway</t>
  </si>
  <si>
    <t>ML inference</t>
  </si>
  <si>
    <t>Local Flask service on 127.0.0.1:5001</t>
  </si>
  <si>
    <t>Static heuristic fallback is identified in API results</t>
  </si>
  <si>
    <t>Email model features</t>
  </si>
  <si>
    <t>Header authentication signals restricted to leading mail headers</t>
  </si>
  <si>
    <t>URL model features</t>
  </si>
  <si>
    <t>Validation grouping is by hostname</t>
  </si>
  <si>
    <t>Attachment model features</t>
  </si>
  <si>
    <t>Synthetic training data; no real-world accuracy claim</t>
  </si>
  <si>
    <t>Attachment scanning</t>
  </si>
  <si>
    <t>Static signatures, structure, and heuristics</t>
  </si>
  <si>
    <t>Not a substitute for antivirus or sandboxing</t>
  </si>
  <si>
    <t>Gmail integration</t>
  </si>
  <si>
    <t>OAuth read-only inbox scan and attachment fetch</t>
  </si>
  <si>
    <t>Requires a configured Google OAuth client and authorized origin</t>
  </si>
  <si>
    <t>Evaluation limitations</t>
  </si>
  <si>
    <t>Metrics are cross-validation estimates on the listed source datasets, not independent production data.</t>
  </si>
  <si>
    <t>PhishTank is a positive-only feed; it cannot measure false-positive rate or specificity.</t>
  </si>
  <si>
    <t>Attachment model scores are from synthetic data and must not be interpreted as real-world accuracy.</t>
  </si>
  <si>
    <t>No throughput benchmark was run by this evaluation command.</t>
  </si>
  <si>
    <t>Comparison figures supplied separately</t>
  </si>
  <si>
    <t>Reported model comparison (F1)</t>
  </si>
  <si>
    <t>Model</t>
  </si>
  <si>
    <t>F1 score</t>
  </si>
  <si>
    <t>XGBoost</t>
  </si>
  <si>
    <t>RoBERTa</t>
  </si>
  <si>
    <t>BERT</t>
  </si>
  <si>
    <t>CNN</t>
  </si>
  <si>
    <t>LSTM</t>
  </si>
  <si>
    <t>Comparison basis</t>
  </si>
  <si>
    <t>XGBoost is highest among these supplied F1 scores, by 0.21 percentage points over RoBERTa.</t>
  </si>
  <si>
    <t>Dataset, evaluation split, and averaging method were not provided; comparison is not independently verified.</t>
  </si>
  <si>
    <t>Training code added separately; no evaluation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</si>
</sst>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0F0F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3" customWidth="1"/>
    <col min="2" max="2" width="70" customWidth="1"/>
    <col min="3" max="3" width="66" customWidth="1"/>
  </cols>
  <sheetData>
    <row r="1" spans="1:3" x14ac:dyDescent="0.3">
      <c r="A1" s="1" t="s">
        <v>0</v>
      </c>
      <c r="B1" s="1"/>
      <c r="C1" s="1"/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  <c r="C5" t="s">
        <v>7</v>
      </c>
    </row>
    <row r="6" spans="1:3" x14ac:dyDescent="0.3">
      <c r="A6" t="s">
        <v>8</v>
      </c>
      <c r="B6" t="s">
        <v>9</v>
      </c>
      <c r="C6" t="s">
        <v>10</v>
      </c>
    </row>
    <row r="7" spans="1:3" x14ac:dyDescent="0.3">
      <c r="A7" t="s">
        <v>11</v>
      </c>
      <c r="B7" t="s">
        <v>12</v>
      </c>
      <c r="C7" t="s">
        <v>13</v>
      </c>
    </row>
    <row r="8" spans="1:3" x14ac:dyDescent="0.3">
      <c r="A8" t="s">
        <v>14</v>
      </c>
      <c r="B8" t="s">
        <v>15</v>
      </c>
      <c r="C8" t="s">
        <v>16</v>
      </c>
    </row>
    <row r="9" spans="1:3" ht="30" customHeight="1" x14ac:dyDescent="0.3">
      <c r="A9" t="s">
        <v>17</v>
      </c>
      <c r="B9" t="s">
        <v>78</v>
      </c>
      <c r="C9" s="5" t="s">
        <v>90</v>
      </c>
    </row>
    <row r="11" spans="1:3" x14ac:dyDescent="0.3">
      <c r="A11" s="3" t="s">
        <v>79</v>
      </c>
      <c r="B11" s="3"/>
      <c r="C11" s="3"/>
    </row>
    <row r="12" spans="1:3" x14ac:dyDescent="0.3">
      <c r="A12" s="4" t="s">
        <v>80</v>
      </c>
      <c r="B12" s="4" t="s">
        <v>81</v>
      </c>
      <c r="C12" s="4"/>
    </row>
    <row r="13" spans="1:3" x14ac:dyDescent="0.3">
      <c r="A13" t="s">
        <v>82</v>
      </c>
      <c r="B13" s="2">
        <f>99.76%</f>
        <v>0.99760000000000004</v>
      </c>
    </row>
    <row r="14" spans="1:3" x14ac:dyDescent="0.3">
      <c r="A14" t="s">
        <v>83</v>
      </c>
      <c r="B14" s="2">
        <f>99.55%</f>
        <v>0.99549999999999994</v>
      </c>
    </row>
    <row r="15" spans="1:3" x14ac:dyDescent="0.3">
      <c r="A15" t="s">
        <v>84</v>
      </c>
      <c r="B15" s="2">
        <f>99.3%</f>
        <v>0.99299999999999999</v>
      </c>
    </row>
    <row r="16" spans="1:3" x14ac:dyDescent="0.3">
      <c r="A16" t="s">
        <v>85</v>
      </c>
      <c r="B16" s="2">
        <f>97.92%</f>
        <v>0.97920000000000007</v>
      </c>
    </row>
    <row r="17" spans="1:3" x14ac:dyDescent="0.3">
      <c r="A17" t="s">
        <v>86</v>
      </c>
      <c r="B17" s="2">
        <f>96.95%</f>
        <v>0.96950000000000003</v>
      </c>
    </row>
    <row r="18" spans="1:3" ht="45" customHeight="1" x14ac:dyDescent="0.3">
      <c r="A18" t="s">
        <v>87</v>
      </c>
      <c r="B18" s="5" t="s">
        <v>88</v>
      </c>
      <c r="C18" s="5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1" customWidth="1"/>
    <col min="2" max="2" width="42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20</v>
      </c>
      <c r="B2">
        <v>39154</v>
      </c>
    </row>
    <row r="3" spans="1:2" x14ac:dyDescent="0.3">
      <c r="A3" t="s">
        <v>21</v>
      </c>
      <c r="B3" t="s">
        <v>22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>
        <v>0.99228686724217197</v>
      </c>
    </row>
    <row r="7" spans="1:2" x14ac:dyDescent="0.3">
      <c r="A7" t="s">
        <v>26</v>
      </c>
      <c r="B7">
        <v>0.9932222018684741</v>
      </c>
    </row>
    <row r="8" spans="1:2" x14ac:dyDescent="0.3">
      <c r="A8" t="s">
        <v>27</v>
      </c>
      <c r="B8">
        <v>0.99294936361139086</v>
      </c>
    </row>
    <row r="9" spans="1:2" x14ac:dyDescent="0.3">
      <c r="A9" t="s">
        <v>28</v>
      </c>
      <c r="B9">
        <v>0.99308576400018311</v>
      </c>
    </row>
    <row r="10" spans="1:2" x14ac:dyDescent="0.3">
      <c r="A10" t="s">
        <v>29</v>
      </c>
      <c r="B10">
        <v>0.99950555988471057</v>
      </c>
    </row>
    <row r="12" spans="1:2" x14ac:dyDescent="0.3">
      <c r="A12" t="s">
        <v>30</v>
      </c>
    </row>
    <row r="13" spans="1:2" x14ac:dyDescent="0.3">
      <c r="A13">
        <v>17164</v>
      </c>
      <c r="B13">
        <v>148</v>
      </c>
    </row>
    <row r="14" spans="1:2" x14ac:dyDescent="0.3">
      <c r="A14">
        <v>154</v>
      </c>
      <c r="B14">
        <v>21688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1" customWidth="1"/>
    <col min="2" max="2" width="42" customWidth="1"/>
  </cols>
  <sheetData>
    <row r="1" spans="1:2" x14ac:dyDescent="0.3">
      <c r="A1" s="1" t="s">
        <v>31</v>
      </c>
      <c r="B1" s="1" t="s">
        <v>19</v>
      </c>
    </row>
    <row r="2" spans="1:2" x14ac:dyDescent="0.3">
      <c r="A2" t="s">
        <v>20</v>
      </c>
      <c r="B2">
        <v>48850</v>
      </c>
    </row>
    <row r="3" spans="1:2" x14ac:dyDescent="0.3">
      <c r="A3" t="s">
        <v>21</v>
      </c>
      <c r="B3" t="s">
        <v>32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>
        <v>0.83756397134083926</v>
      </c>
    </row>
    <row r="7" spans="1:2" x14ac:dyDescent="0.3">
      <c r="A7" t="s">
        <v>26</v>
      </c>
      <c r="B7">
        <v>0.91787008349524757</v>
      </c>
    </row>
    <row r="8" spans="1:2" x14ac:dyDescent="0.3">
      <c r="A8" t="s">
        <v>27</v>
      </c>
      <c r="B8">
        <v>0.73287211740041924</v>
      </c>
    </row>
    <row r="9" spans="1:2" x14ac:dyDescent="0.3">
      <c r="A9" t="s">
        <v>28</v>
      </c>
      <c r="B9">
        <v>0.81500477933462334</v>
      </c>
    </row>
    <row r="10" spans="1:2" x14ac:dyDescent="0.3">
      <c r="A10" t="s">
        <v>29</v>
      </c>
      <c r="B10">
        <v>0.92094727714884683</v>
      </c>
    </row>
    <row r="12" spans="1:2" x14ac:dyDescent="0.3">
      <c r="A12" t="s">
        <v>30</v>
      </c>
    </row>
    <row r="13" spans="1:2" x14ac:dyDescent="0.3">
      <c r="A13">
        <v>23436</v>
      </c>
      <c r="B13">
        <v>1564</v>
      </c>
    </row>
    <row r="14" spans="1:2" x14ac:dyDescent="0.3">
      <c r="A14">
        <v>6371</v>
      </c>
      <c r="B14">
        <v>17479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38" customWidth="1"/>
  </cols>
  <sheetData>
    <row r="1" spans="1:2" x14ac:dyDescent="0.3">
      <c r="A1" s="1" t="s">
        <v>33</v>
      </c>
      <c r="B1" s="1" t="s">
        <v>19</v>
      </c>
    </row>
    <row r="2" spans="1:2" x14ac:dyDescent="0.3">
      <c r="A2" t="s">
        <v>20</v>
      </c>
      <c r="B2">
        <v>20000</v>
      </c>
    </row>
    <row r="3" spans="1:2" x14ac:dyDescent="0.3">
      <c r="A3" t="s">
        <v>21</v>
      </c>
      <c r="B3" t="s">
        <v>34</v>
      </c>
    </row>
    <row r="5" spans="1:2" x14ac:dyDescent="0.3">
      <c r="A5" t="s">
        <v>23</v>
      </c>
      <c r="B5" t="s">
        <v>24</v>
      </c>
    </row>
    <row r="6" spans="1:2" x14ac:dyDescent="0.3">
      <c r="A6" t="s">
        <v>35</v>
      </c>
      <c r="B6">
        <v>0.98634999999999995</v>
      </c>
    </row>
    <row r="7" spans="1:2" x14ac:dyDescent="0.3">
      <c r="A7" t="s">
        <v>36</v>
      </c>
      <c r="B7">
        <v>19727</v>
      </c>
    </row>
    <row r="8" spans="1:2" x14ac:dyDescent="0.3">
      <c r="A8" t="s">
        <v>37</v>
      </c>
      <c r="B8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2" customWidth="1"/>
    <col min="3" max="7" width="20" customWidth="1"/>
    <col min="8" max="8" width="63" customWidth="1"/>
  </cols>
  <sheetData>
    <row r="1" spans="1:8" x14ac:dyDescent="0.3">
      <c r="A1" s="1" t="s">
        <v>38</v>
      </c>
      <c r="B1" s="1" t="s">
        <v>20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3">
      <c r="A2" t="s">
        <v>45</v>
      </c>
      <c r="B2">
        <v>39154</v>
      </c>
      <c r="C2">
        <v>0.99228686724217197</v>
      </c>
      <c r="D2">
        <v>0.9932222018684741</v>
      </c>
      <c r="E2">
        <v>0.99294936361139086</v>
      </c>
      <c r="F2">
        <v>0.99308576400018311</v>
      </c>
      <c r="G2">
        <v>0.99950555988471057</v>
      </c>
      <c r="H2" t="s">
        <v>46</v>
      </c>
    </row>
    <row r="3" spans="1:8" x14ac:dyDescent="0.3">
      <c r="A3" t="s">
        <v>47</v>
      </c>
      <c r="B3">
        <v>48850</v>
      </c>
      <c r="C3">
        <v>0.83756397134083926</v>
      </c>
      <c r="D3">
        <v>0.91787008349524757</v>
      </c>
      <c r="E3">
        <v>0.73287211740041924</v>
      </c>
      <c r="F3">
        <v>0.81500477933462334</v>
      </c>
      <c r="G3">
        <v>0.92094727714884683</v>
      </c>
      <c r="H3" t="s">
        <v>46</v>
      </c>
    </row>
    <row r="4" spans="1:8" x14ac:dyDescent="0.3">
      <c r="A4" t="s">
        <v>48</v>
      </c>
      <c r="B4">
        <v>20000</v>
      </c>
      <c r="E4">
        <v>0.98634999999999995</v>
      </c>
      <c r="H4" t="s">
        <v>49</v>
      </c>
    </row>
    <row r="5" spans="1:8" x14ac:dyDescent="0.3">
      <c r="A5" t="s">
        <v>50</v>
      </c>
      <c r="B5">
        <v>6600</v>
      </c>
      <c r="C5">
        <v>0.98770000000000002</v>
      </c>
      <c r="D5">
        <v>0.98760000000000003</v>
      </c>
      <c r="E5">
        <v>0.98609999999999998</v>
      </c>
      <c r="F5">
        <v>0.98680000000000001</v>
      </c>
      <c r="G5">
        <v>0.99929999999999997</v>
      </c>
      <c r="H5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0" customWidth="1"/>
    <col min="2" max="2" width="49" customWidth="1"/>
    <col min="3" max="3" width="66" customWidth="1"/>
  </cols>
  <sheetData>
    <row r="1" spans="1:3" x14ac:dyDescent="0.3">
      <c r="A1" s="1" t="s">
        <v>52</v>
      </c>
      <c r="B1" s="1" t="s">
        <v>53</v>
      </c>
      <c r="C1" s="1" t="s">
        <v>54</v>
      </c>
    </row>
    <row r="2" spans="1:3" x14ac:dyDescent="0.3">
      <c r="A2" t="s">
        <v>55</v>
      </c>
      <c r="B2" t="s">
        <v>56</v>
      </c>
      <c r="C2" t="s">
        <v>57</v>
      </c>
    </row>
    <row r="3" spans="1:3" x14ac:dyDescent="0.3">
      <c r="A3" t="s">
        <v>58</v>
      </c>
      <c r="B3" t="s">
        <v>59</v>
      </c>
      <c r="C3" t="s">
        <v>60</v>
      </c>
    </row>
    <row r="4" spans="1:3" x14ac:dyDescent="0.3">
      <c r="A4" t="s">
        <v>61</v>
      </c>
      <c r="B4">
        <v>69</v>
      </c>
      <c r="C4" t="s">
        <v>62</v>
      </c>
    </row>
    <row r="5" spans="1:3" x14ac:dyDescent="0.3">
      <c r="A5" t="s">
        <v>63</v>
      </c>
      <c r="B5">
        <v>28</v>
      </c>
      <c r="C5" t="s">
        <v>64</v>
      </c>
    </row>
    <row r="6" spans="1:3" x14ac:dyDescent="0.3">
      <c r="A6" t="s">
        <v>65</v>
      </c>
      <c r="C6" t="s">
        <v>66</v>
      </c>
    </row>
    <row r="7" spans="1:3" x14ac:dyDescent="0.3">
      <c r="A7" t="s">
        <v>67</v>
      </c>
      <c r="B7" t="s">
        <v>68</v>
      </c>
      <c r="C7" t="s">
        <v>69</v>
      </c>
    </row>
    <row r="8" spans="1:3" x14ac:dyDescent="0.3">
      <c r="A8" t="s">
        <v>70</v>
      </c>
      <c r="B8" t="s">
        <v>71</v>
      </c>
      <c r="C8" t="s">
        <v>72</v>
      </c>
    </row>
    <row r="10" spans="1:3" x14ac:dyDescent="0.3">
      <c r="A10" t="s">
        <v>73</v>
      </c>
    </row>
    <row r="11" spans="1:3" x14ac:dyDescent="0.3">
      <c r="A11" t="s">
        <v>74</v>
      </c>
    </row>
    <row r="12" spans="1:3" x14ac:dyDescent="0.3">
      <c r="A12" t="s">
        <v>75</v>
      </c>
    </row>
    <row r="13" spans="1:3" x14ac:dyDescent="0.3">
      <c r="A13" t="s">
        <v>76</v>
      </c>
    </row>
    <row r="14" spans="1:3" x14ac:dyDescent="0.3">
      <c r="A1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 &amp; Decision</vt:lpstr>
      <vt:lpstr>Dataset 1 - CEAS_08 (Email)</vt:lpstr>
      <vt:lpstr>Dataset 2 - urldata (URLs)</vt:lpstr>
      <vt:lpstr>Dataset 3 - PhishTank (Feed)</vt:lpstr>
      <vt:lpstr>Cross-Dataset Aggregates</vt:lpstr>
      <vt:lpstr>Deployment Specs &amp;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Gupta</cp:lastModifiedBy>
  <dcterms:created xsi:type="dcterms:W3CDTF">2026-10-08T21:28:07Z</dcterms:created>
  <dcterms:modified xsi:type="dcterms:W3CDTF">2026-10-16T23:03:18Z</dcterms:modified>
</cp:coreProperties>
</file>